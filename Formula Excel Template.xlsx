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av5\Downloads\"/>
    </mc:Choice>
  </mc:AlternateContent>
  <xr:revisionPtr revIDLastSave="0" documentId="13_ncr:1_{5C4C67D9-D8E3-4A46-A16E-EE664F3843F5}" xr6:coauthVersionLast="47" xr6:coauthVersionMax="47" xr10:uidLastSave="{00000000-0000-0000-0000-000000000000}"/>
  <bookViews>
    <workbookView xWindow="-110" yWindow="-110" windowWidth="19420" windowHeight="11500" firstSheet="7" activeTab="7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N2" i="6" a="1"/>
  <c r="N2" i="6" s="1"/>
  <c r="J14" i="6"/>
  <c r="J13" i="6"/>
  <c r="J2" i="6" a="1"/>
  <c r="J2" i="6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tc={010F654A-23B4-41E3-AF78-D8CCA916F4D3}</author>
    <author>tc={215AA7A0-62AB-4862-BB11-5C9D94A86516}</author>
  </authors>
  <commentList>
    <comment ref="J2" authorId="0" shapeId="0" xr:uid="{010F654A-23B4-41E3-AF78-D8CCA916F4D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did a range H2:H10 so it takes the max out of all of those not just those 2 vals </t>
      </text>
    </comment>
    <comment ref="J3" authorId="1" shapeId="0" xr:uid="{215AA7A0-62AB-4862-BB11-5C9D94A86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Have to change this specific column to number not a date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tc={F757E476-5F37-423F-A3C5-EE83E6B0EB22}</author>
  </authors>
  <commentList>
    <comment ref="K1" authorId="0" shapeId="0" xr:uid="{F757E476-5F37-423F-A3C5-EE83E6B0EB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Ifs we can have multiple conditions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<sst xmlns="http://schemas.openxmlformats.org/spreadsheetml/2006/main" count="605" uniqueCount="109">
  <si>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</si>
  <si>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</si>
  <si>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</si>
  <si>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</si>
  <si>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</si>
  <si>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</si>
  <si>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</si>
  <si>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</si>
  <si>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</si>
  <si>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</si>
  <si>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</si>
  <si>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</si>
  <si>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</si>
  <si>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</si>
  <si>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</si>
  <si>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</si>
  <si>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</si>
  <si>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</si>
  <si>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</si>
  <si>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</si>
  <si>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</si>
  <si>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</si>
  <si>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</si>
  <si>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</si>
  <si>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</si>
  <si>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</si>
  <si>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</si>
  <si>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</si>
  <si>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</si>
  <si>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</si>
  <si>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</si>
  <si>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</si>
  <si>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</si>
  <si>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</si>
  <si>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</si>
  <si>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</si>
  <si>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</si>
  <si>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</si>
  <si>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</si>
  <si>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</si>
  <si>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</si>
  <si>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</si>
  <si>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</si>
  <si>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</si>
  <si>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</si>
  <si>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</si>
  <si>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</si>
  <si>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</si>
  <si>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</si>
  <si>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</si>
  <si>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</si>
  <si>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</si>
  <si>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</si>
  <si>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</si>
  <si>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</si>
  <si>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</si>
  <si>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</si>
  <si>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</si>
  <si>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</si>
  <si>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</si>
  <si>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</si>
  <si>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</si>
  <si>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</si>
  <si>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</si>
  <si>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</si>
  <si>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</si>
  <si>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</si>
  <si>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</si>
  <si>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</si>
  <si>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</si>
  <si>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</si>
  <si>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</si>
  <si>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</si>
  <si>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</si>
  <si>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</si>
  <si>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</si>
  <si>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</si>
  <si>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</si>
  <si>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</si>
  <si>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</si>
  <si>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</si>
  <si>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</si>
  <si>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</si>
  <si>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</si>
  <si>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</si>
  <si>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</si>
  <si>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</si>
  <si>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</si>
  <si>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The IFS works by having multiple conditions, its like if statements but it has no false condition. You don't use the word if after the first condition.</t>
  </si>
  <si>
    <t xml:space="preserve">tells us how long each persons last name is </t>
  </si>
  <si>
    <t>Left and right are similar to substrings</t>
  </si>
  <si>
    <t>takes the first 3 characters from the left of the names</t>
  </si>
  <si>
    <t xml:space="preserve">starting from the far right(end), we go on character so got the last one </t>
  </si>
  <si>
    <t>since we are looking at a range of dates, we want to take the last 4 characters here to get the year</t>
  </si>
  <si>
    <t>-day, month,year format</t>
  </si>
  <si>
    <t>joins 2 or more text strings into one string</t>
  </si>
  <si>
    <t>Emails Using Concatenate</t>
  </si>
  <si>
    <t xml:space="preserve">we replaced the instance of - with / for the dates to make it correct format </t>
  </si>
  <si>
    <t>if you do not include instance it does it to everything</t>
  </si>
  <si>
    <t xml:space="preserve">we replaced it again but only on the first instance </t>
  </si>
  <si>
    <t xml:space="preserve">like for everything it only gets replaced in the first instance </t>
  </si>
  <si>
    <t>now the first one wasn't touched but the second is</t>
  </si>
  <si>
    <t>if it meets a certain criteria, then do the sum</t>
  </si>
  <si>
    <t>only adds up if their salaries are &gt;50000</t>
  </si>
  <si>
    <t>sum if they are female and greater than 30</t>
  </si>
  <si>
    <t>shows there are 9 salaries</t>
  </si>
  <si>
    <t>how many ppl have a salary over 45000</t>
  </si>
  <si>
    <t xml:space="preserve">want their id to be greater than 1005 and male? How many </t>
  </si>
  <si>
    <t>exlcudes weekends and holidays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</si>
</sst>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a Verma" id="{46AC6AF3-FE48-43A9-B675-E04EFC4379AB}" userId="f1c8b1681db970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5-12-19T00:41:40.73" personId="{46AC6AF3-FE48-43A9-B675-E04EFC4379AB}" id="{010F654A-23B4-41E3-AF78-D8CCA916F4D3}">
    <text xml:space="preserve">We did a range H2:H10 so it takes the max out of all of those not just those 2 vals </text>
  </threadedComment>
  <threadedComment ref="J3" dT="2025-12-19T00:43:08.37" personId="{46AC6AF3-FE48-43A9-B675-E04EFC4379AB}" id="{215AA7A0-62AB-4862-BB11-5C9D94A86516}">
    <text xml:space="preserve">Have to change this specific column to number not a date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1" dT="2025-12-19T00:45:59.30" personId="{46AC6AF3-FE48-43A9-B675-E04EFC4379AB}" id="{F757E476-5F37-423F-A3C5-EE83E6B0EB22}">
    <text xml:space="preserve">Ifs we can have multiple conditions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F1" workbookViewId="0">
      <selection activeCell="K4" sqref="K4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0" max="10" width="13.6328125" style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1" t="s">
        <v>80</v>
      </c>
      <c r="K1" t="s">
        <v>81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3">
        <f>MAX(G2:G10)</f>
        <v>65000</v>
      </c>
      <c r="K3">
        <f>MIN(G2:G10)</f>
        <v>36000</v>
      </c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2"/>
  <sheetViews>
    <sheetView topLeftCell="H1" workbookViewId="0">
      <selection activeCell="K12" sqref="K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  <col min="11" max="11" width="18.906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s="4" t="s">
        <v>82</v>
      </c>
      <c r="K1" s="4" t="s">
        <v>83</v>
      </c>
    </row>
    <row r="2" spans="1:11" ht="29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4" t="str" cm="1">
        <f t="array" ref="J2:J10">IF(D2:D10&gt;30,"Older than 30","Younger than 30")</f>
        <v>Younger than 30</v>
      </c>
      <c r="K2" s="4" t="str" cm="1">
        <f t="array" ref="K2:K10">_xlfn.IFS(F2:F10="Salesman","This person works in Sales",F2:F10= "HR", "This person is in HR", F2:F10 = "Regional Manager","They are a regional manager")</f>
        <v>This person works in Sales</v>
      </c>
    </row>
    <row r="3" spans="1:11" ht="29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4" t="str">
        <v>Younger than 30</v>
      </c>
      <c r="K3" s="4" t="e">
        <v>#N/A</v>
      </c>
    </row>
    <row r="4" spans="1:11" ht="29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s="4" t="str">
        <v>Younger than 30</v>
      </c>
      <c r="K4" s="4" t="str">
        <v>This person works in Sales</v>
      </c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s="4" t="str">
        <v>Older than 30</v>
      </c>
      <c r="K5" s="4" t="e">
        <v>#N/A</v>
      </c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s="4" t="str">
        <v>Older than 30</v>
      </c>
      <c r="K6" s="4" t="str">
        <v>This person is in HR</v>
      </c>
    </row>
    <row r="7" spans="1:11" ht="29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s="4" t="str">
        <v>Older than 30</v>
      </c>
      <c r="K7" s="4" t="str">
        <v>They are a regional manager</v>
      </c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s="4" t="str">
        <v>Older than 30</v>
      </c>
      <c r="K8" s="4" t="e">
        <v>#N/A</v>
      </c>
    </row>
    <row r="9" spans="1:11" ht="29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s="4" t="str">
        <v>Older than 30</v>
      </c>
      <c r="K9" s="4" t="str">
        <v>This person works in Sales</v>
      </c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s="4" t="str">
        <v>Older than 30</v>
      </c>
      <c r="K10" s="4" t="e">
        <v>#N/A</v>
      </c>
    </row>
    <row r="12" spans="1:11" ht="116" x14ac:dyDescent="0.35">
      <c r="K12" s="4" t="s">
        <v>88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2"/>
  <sheetViews>
    <sheetView topLeftCell="E1" workbookViewId="0">
      <selection activeCell="J12" sqref="J12"/>
    </sheetView>
  </sheetViews>
  <sheetFormatPr defaultColWidth="10.90625" defaultRowHeight="14.5" x14ac:dyDescent="0.35"/>
  <cols>
    <col min="1" max="1" width="10.81640625" bestFit="1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  <row r="12" spans="1:12" ht="58" x14ac:dyDescent="0.35">
      <c r="J12" s="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5"/>
  <sheetViews>
    <sheetView topLeftCell="O1" workbookViewId="0">
      <selection activeCell="M2" sqref="M2"/>
    </sheetView>
  </sheetViews>
  <sheetFormatPr defaultColWidth="14.54296875" defaultRowHeight="14.5" x14ac:dyDescent="0.35"/>
  <cols>
    <col min="4" max="4" width="8" customWidth="1"/>
    <col min="10" max="10" width="32.36328125" bestFit="1" customWidth="1"/>
  </cols>
  <sheetData>
    <row r="1" spans="1:13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RIGHT(H2:H10,4)</f>
        <v>2001</v>
      </c>
    </row>
    <row r="3" spans="1:13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1999</v>
      </c>
    </row>
    <row r="4" spans="1:13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2000</v>
      </c>
    </row>
    <row r="5" spans="1:13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2000</v>
      </c>
    </row>
    <row r="6" spans="1:13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2001</v>
      </c>
    </row>
    <row r="7" spans="1:13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2001</v>
      </c>
    </row>
    <row r="8" spans="1:13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2003</v>
      </c>
    </row>
    <row r="9" spans="1:13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2002</v>
      </c>
    </row>
    <row r="10" spans="1:13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2003</v>
      </c>
    </row>
    <row r="11" spans="1:13" ht="101.5" x14ac:dyDescent="0.35">
      <c r="K11" s="4" t="s">
        <v>91</v>
      </c>
      <c r="L11" s="4" t="s">
        <v>92</v>
      </c>
      <c r="M11" s="4" t="s">
        <v>93</v>
      </c>
    </row>
    <row r="15" spans="1:13" ht="43.5" x14ac:dyDescent="0.35">
      <c r="K15" s="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topLeftCell="S1" workbookViewId="0">
      <selection activeCell="J2" sqref="J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1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 t="s">
        <v>94</v>
      </c>
    </row>
    <row r="3" spans="1:11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K3" s="2"/>
    </row>
    <row r="4" spans="1:11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</row>
    <row r="5" spans="1:11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</row>
    <row r="6" spans="1:11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</row>
    <row r="7" spans="1:11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</row>
    <row r="8" spans="1:11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</row>
    <row r="9" spans="1:11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</row>
    <row r="10" spans="1:11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</row>
    <row r="12" spans="1:11" x14ac:dyDescent="0.35">
      <c r="H12" s="1"/>
    </row>
    <row r="13" spans="1:11" x14ac:dyDescent="0.3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N14"/>
  <sheetViews>
    <sheetView topLeftCell="E1" workbookViewId="0">
      <selection activeCell="N3" sqref="N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4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  <c r="N1" t="s">
        <v>96</v>
      </c>
    </row>
    <row r="2" spans="1:14" x14ac:dyDescent="0.3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  <c r="N2" t="str" cm="1">
        <f t="array" ref="N2:N10">CONCATENATE(B2:B10,".",C2:C10,"@gmail.com")</f>
        <v>Jim.Halpert@gmail.com</v>
      </c>
    </row>
    <row r="3" spans="1:14" x14ac:dyDescent="0.3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  <c r="N3" t="str">
        <v>Pam.Beasley@gmail.com</v>
      </c>
    </row>
    <row r="4" spans="1:14" x14ac:dyDescent="0.3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  <c r="N4" t="str">
        <v>Dwight. Schrute@gmail.com</v>
      </c>
    </row>
    <row r="5" spans="1:14" x14ac:dyDescent="0.3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  <c r="N5" t="str">
        <v>Angela.Martin@gmail.com</v>
      </c>
    </row>
    <row r="6" spans="1:14" x14ac:dyDescent="0.3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  <c r="N6" t="str">
        <v>Toby.Flenderson    @gmail.com</v>
      </c>
    </row>
    <row r="7" spans="1:14" x14ac:dyDescent="0.3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  <c r="N7" t="str">
        <v>Michael.   Scott@gmail.com</v>
      </c>
    </row>
    <row r="8" spans="1:14" x14ac:dyDescent="0.3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  <c r="N8" t="str">
        <v>Meredith.Palmer@gmail.com</v>
      </c>
    </row>
    <row r="9" spans="1:14" x14ac:dyDescent="0.3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  <c r="N9" t="str">
        <v>Stanley.  Hudson@gmail.com</v>
      </c>
    </row>
    <row r="10" spans="1:14" x14ac:dyDescent="0.3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  <c r="N10" t="str">
        <v>Kevin.Malone @gmail.com</v>
      </c>
    </row>
    <row r="12" spans="1:14" ht="29" x14ac:dyDescent="0.35">
      <c r="J12" s="4" t="s">
        <v>18</v>
      </c>
      <c r="K12" t="s">
        <v>95</v>
      </c>
    </row>
    <row r="13" spans="1:14" x14ac:dyDescent="0.35">
      <c r="J13" t="str">
        <f>CONCATENATE(B2,C2)</f>
        <v>JimHalpert</v>
      </c>
    </row>
    <row r="14" spans="1:14" x14ac:dyDescent="0.35">
      <c r="J14" t="str">
        <f>CONCATENATE(B2, " ",C2)</f>
        <v>Jim Halpert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L5" workbookViewId="0">
      <selection activeCell="K12" sqref="K12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SUBSTITUTE(H2:H10,"-","/")</f>
        <v>11/2/2001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10/3/1999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7/4/2000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1/5/2000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5/6/2001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5/6/2001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11/8/2003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6/9/2002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8/10/2003</v>
      </c>
    </row>
    <row r="12" spans="1:12" ht="87" x14ac:dyDescent="0.35">
      <c r="H12" s="2"/>
      <c r="I12" s="2"/>
      <c r="J12" s="4" t="s">
        <v>99</v>
      </c>
      <c r="K12" s="4" t="s">
        <v>101</v>
      </c>
      <c r="L12" s="4" t="s">
        <v>97</v>
      </c>
    </row>
    <row r="13" spans="1:12" ht="72.5" x14ac:dyDescent="0.35">
      <c r="H13" s="2"/>
      <c r="I13" s="2"/>
      <c r="J13" s="4" t="s">
        <v>100</v>
      </c>
      <c r="L13" t="s">
        <v>98</v>
      </c>
    </row>
    <row r="14" spans="1:12" x14ac:dyDescent="0.35">
      <c r="H14" s="2"/>
      <c r="I14" s="2"/>
    </row>
    <row r="15" spans="1:12" x14ac:dyDescent="0.35">
      <c r="H15" s="2"/>
      <c r="I15" s="2"/>
    </row>
    <row r="16" spans="1:12" x14ac:dyDescent="0.35">
      <c r="H16" s="2"/>
      <c r="I16" s="2"/>
    </row>
    <row r="17" spans="8:9" x14ac:dyDescent="0.35">
      <c r="H17" s="2"/>
      <c r="I17" s="2"/>
    </row>
    <row r="18" spans="8:9" x14ac:dyDescent="0.35">
      <c r="H18" s="2"/>
      <c r="I18" s="2"/>
    </row>
    <row r="19" spans="8:9" x14ac:dyDescent="0.35">
      <c r="H19" s="2"/>
      <c r="I19" s="2"/>
    </row>
    <row r="20" spans="8:9" x14ac:dyDescent="0.3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3"/>
  <sheetViews>
    <sheetView tabSelected="1" topLeftCell="P1" workbookViewId="0">
      <selection activeCell="L3" sqref="L3"/>
    </sheetView>
  </sheetViews>
  <sheetFormatPr defaultColWidth="13" defaultRowHeight="14.5" x14ac:dyDescent="0.35"/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 "&gt;30")</f>
        <v>88000</v>
      </c>
    </row>
    <row r="3" spans="1:12" ht="58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K3" s="4" t="s">
        <v>103</v>
      </c>
      <c r="L3" s="4" t="s">
        <v>104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3" spans="1:12" x14ac:dyDescent="0.35">
      <c r="K13" t="s">
        <v>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E1" workbookViewId="0">
      <selection activeCell="L3" sqref="L3"/>
    </sheetView>
  </sheetViews>
  <sheetFormatPr defaultColWidth="13.6328125" defaultRowHeight="14.5" x14ac:dyDescent="0.35"/>
  <cols>
    <col min="1" max="1" width="10.81640625" bestFit="1" customWidth="1"/>
    <col min="4" max="4" width="7.6328125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ht="72.5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s="4" t="s">
        <v>105</v>
      </c>
      <c r="K3" s="4" t="s">
        <v>106</v>
      </c>
      <c r="L3" s="4" t="s">
        <v>107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H21" sqref="H21"/>
    </sheetView>
  </sheetViews>
  <sheetFormatPr defaultRowHeight="14.5" x14ac:dyDescent="0.35"/>
  <cols>
    <col min="2" max="2" width="10.453125" customWidth="1"/>
    <col min="3" max="5" width="10.6328125" customWidth="1"/>
    <col min="6" max="6" width="16.54296875" customWidth="1"/>
    <col min="8" max="8" width="14.1796875" customWidth="1"/>
    <col min="9" max="9" width="14.81640625" customWidth="1"/>
    <col min="10" max="10" width="22" bestFit="1" customWidth="1"/>
  </cols>
  <sheetData>
    <row r="1" spans="1:10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</row>
    <row r="3" spans="1:10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0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0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0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0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0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0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0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  <row r="11" spans="1:10" x14ac:dyDescent="0.35">
      <c r="H11" t="str">
        <f t="shared" ref="H11:H12" si="0">CONCATENATE(B11," ",C11)</f>
        <v xml:space="preserve"> </v>
      </c>
    </row>
    <row r="12" spans="1:10" x14ac:dyDescent="0.3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L10"/>
  <sheetViews>
    <sheetView workbookViewId="0">
      <selection activeCell="K2" sqref="K2"/>
    </sheetView>
  </sheetViews>
  <sheetFormatPr defaultRowHeight="14.5" x14ac:dyDescent="0.35"/>
  <cols>
    <col min="8" max="8" width="14.453125" customWidth="1"/>
    <col min="9" max="9" width="13.36328125" customWidth="1"/>
    <col min="11" max="11" width="22" customWidth="1"/>
  </cols>
  <sheetData>
    <row r="1" spans="1:12" x14ac:dyDescent="0.3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2" x14ac:dyDescent="0.3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>
        <f>_xlfn.DAYS(I2,H2)</f>
        <v>5056</v>
      </c>
      <c r="K2">
        <f>NETWORKDAYS(H2,I2)</f>
        <v>3611</v>
      </c>
      <c r="L2" t="s">
        <v>108</v>
      </c>
    </row>
    <row r="3" spans="1:12" x14ac:dyDescent="0.3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f t="shared" ref="J3:J10" si="0">_xlfn.DAYS(I3,H3)</f>
        <v>5851</v>
      </c>
      <c r="K3">
        <f t="shared" ref="K3:K10" si="1">NETWORKDAYS(H3,I3)</f>
        <v>4180</v>
      </c>
    </row>
    <row r="4" spans="1:12" x14ac:dyDescent="0.3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f t="shared" si="0"/>
        <v>6275</v>
      </c>
      <c r="K4">
        <f t="shared" si="1"/>
        <v>4484</v>
      </c>
    </row>
    <row r="5" spans="1:12" x14ac:dyDescent="0.3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f t="shared" si="0"/>
        <v>5811</v>
      </c>
      <c r="K5">
        <f t="shared" si="1"/>
        <v>4152</v>
      </c>
    </row>
    <row r="6" spans="1:12" x14ac:dyDescent="0.3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f t="shared" si="0"/>
        <v>5960</v>
      </c>
      <c r="K6">
        <f t="shared" si="1"/>
        <v>4258</v>
      </c>
    </row>
    <row r="7" spans="1:12" x14ac:dyDescent="0.3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f t="shared" si="0"/>
        <v>4511</v>
      </c>
      <c r="K7">
        <f t="shared" si="1"/>
        <v>3223</v>
      </c>
    </row>
    <row r="8" spans="1:12" x14ac:dyDescent="0.3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f t="shared" si="0"/>
        <v>3595</v>
      </c>
      <c r="K8">
        <f t="shared" si="1"/>
        <v>2568</v>
      </c>
    </row>
    <row r="9" spans="1:12" x14ac:dyDescent="0.3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f t="shared" si="0"/>
        <v>4700</v>
      </c>
      <c r="K9">
        <f t="shared" si="1"/>
        <v>3358</v>
      </c>
    </row>
    <row r="10" spans="1:12" x14ac:dyDescent="0.3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Ria Verma</cp:lastModifiedBy>
  <dcterms:created xsi:type="dcterms:W3CDTF">2021-12-16T14:18:34Z</dcterms:created>
  <dcterms:modified xsi:type="dcterms:W3CDTF">2025-12-31T16:35:43Z</dcterms:modified>
</cp:coreProperties>
</file>